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趋势分析" sheetId="1" state="visible" r:id="rId1"/>
    <sheet xmlns:r="http://schemas.openxmlformats.org/officeDocument/2006/relationships" name="2-运营指标" sheetId="2" state="visible" r:id="rId2"/>
    <sheet xmlns:r="http://schemas.openxmlformats.org/officeDocument/2006/relationships" name="3-成本结构" sheetId="3" state="visible" r:id="rId3"/>
    <sheet xmlns:r="http://schemas.openxmlformats.org/officeDocument/2006/relationships" name="4-利润桥分析" sheetId="4" state="visible" r:id="rId4"/>
    <sheet xmlns:r="http://schemas.openxmlformats.org/officeDocument/2006/relationships" name="5-收入结构" sheetId="5" state="visible" r:id="rId5"/>
    <sheet xmlns:r="http://schemas.openxmlformats.org/officeDocument/2006/relationships" name="6-同店分析" sheetId="6" state="visible" r:id="rId6"/>
    <sheet xmlns:r="http://schemas.openxmlformats.org/officeDocument/2006/relationships" name="7-改善方向排序" sheetId="7" state="visible" r:id="rId7"/>
    <sheet xmlns:r="http://schemas.openxmlformats.org/officeDocument/2006/relationships" name="8-原始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微软雅黑"/>
      <b val="1"/>
      <color rgb="00D32F2F"/>
      <sz val="14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收入与利润趋势 (2022-2025)</a:t>
            </a:r>
          </a:p>
        </rich>
      </tx>
    </title>
    <plotArea>
      <lineChart>
        <grouping val="standard"/>
        <ser>
          <idx val="0"/>
          <order val="0"/>
          <tx>
            <strRef>
              <f>'1-趋势分析'!B4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'1-趋势分析'!$A$5:$A$8</f>
            </numRef>
          </cat>
          <val>
            <numRef>
              <f>'1-趋势分析'!$B$5:$B$8</f>
            </numRef>
          </val>
        </ser>
        <ser>
          <idx val="1"/>
          <order val="1"/>
          <tx>
            <strRef>
              <f>'1-趋势分析'!D4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'1-趋势分析'!$A$5:$A$8</f>
            </numRef>
          </cat>
          <val>
            <numRef>
              <f>'1-趋势分析'!$D$5:$D$8</f>
            </numRef>
          </val>
        </ser>
        <ser>
          <idx val="2"/>
          <order val="2"/>
          <tx>
            <strRef>
              <f>'1-趋势分析'!F4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'1-趋势分析'!$A$5:$A$8</f>
            </numRef>
          </cat>
          <val>
            <numRef>
              <f>'1-趋势分析'!$F$5:$F$8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(千元)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毛利率趋势 (%)</a:t>
            </a:r>
          </a:p>
        </rich>
      </tx>
    </title>
    <plotArea>
      <lineChart>
        <grouping val="standard"/>
        <ser>
          <idx val="0"/>
          <order val="0"/>
          <tx>
            <strRef>
              <f>'1-趋势分析'!H4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'1-趋势分析'!$A$5:$A$8</f>
            </numRef>
          </cat>
          <val>
            <numRef>
              <f>'1-趋势分析'!$H$5:$H$8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毛利率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翻台率与客流变化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'2-运营指标'!E3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'2-运营指标'!$A$4:$A$7</f>
            </numRef>
          </cat>
          <val>
            <numRef>
              <f>'2-运营指标'!$E$4:$E$7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翻台率 (次/天)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门店数量变化 (自营+加盟)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'2-运营指标'!C3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'2-运营指标'!$A$4:$A$7</f>
            </numRef>
          </cat>
          <val>
            <numRef>
              <f>'2-运营指标'!$C$4:$C$7</f>
            </numRef>
          </val>
        </ser>
        <ser>
          <idx val="1"/>
          <order val="1"/>
          <tx>
            <strRef>
              <f>'2-运营指标'!D3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'2-运营指标'!$A$4:$A$7</f>
            </numRef>
          </cat>
          <val>
            <numRef>
              <f>'2-运营指标'!$D$4:$D$7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门店数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顾客人均消费趋势 (元)</a:t>
            </a:r>
          </a:p>
        </rich>
      </tx>
    </title>
    <plotArea>
      <lineChart>
        <grouping val="standard"/>
        <ser>
          <idx val="0"/>
          <order val="0"/>
          <tx>
            <strRef>
              <f>'2-运营指标'!G3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'2-运营指标'!$A$4:$A$7</f>
            </numRef>
          </cat>
          <val>
            <numRef>
              <f>'2-运营指标'!$G$4:$G$7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人均消费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成本结构占比变化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'3-成本结构'!B3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'3-成本结构'!$A$4:$A$7</f>
            </numRef>
          </cat>
          <val>
            <numRef>
              <f>'3-成本结构'!$B$4:$B$7</f>
            </numRef>
          </val>
        </ser>
        <ser>
          <idx val="1"/>
          <order val="1"/>
          <tx>
            <strRef>
              <f>'3-成本结构'!D3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'3-成本结构'!$A$4:$A$7</f>
            </numRef>
          </cat>
          <val>
            <numRef>
              <f>'3-成本结构'!$D$4:$D$7</f>
            </numRef>
          </val>
        </ser>
        <ser>
          <idx val="2"/>
          <order val="2"/>
          <tx>
            <strRef>
              <f>'3-成本结构'!F3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'3-成本结构'!$A$4:$A$7</f>
            </numRef>
          </cat>
          <val>
            <numRef>
              <f>'3-成本结构'!$F$4:$F$7</f>
            </numRef>
          </val>
        </ser>
        <ser>
          <idx val="3"/>
          <order val="3"/>
          <tx>
            <strRef>
              <f>'3-成本结构'!H3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'3-成本结构'!$A$4:$A$7</f>
            </numRef>
          </cat>
          <val>
            <numRef>
              <f>'3-成本结构'!$H$4:$H$7</f>
            </numRef>
          </val>
        </ser>
        <ser>
          <idx val="4"/>
          <order val="4"/>
          <tx>
            <strRef>
              <f>'3-成本结构'!J3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'3-成本结构'!$A$4:$A$7</f>
            </numRef>
          </cat>
          <val>
            <numRef>
              <f>'3-成本结构'!$J$4:$J$7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原材料成本与占比趋势</a:t>
            </a:r>
          </a:p>
        </rich>
      </tx>
    </title>
    <plotArea>
      <lineChart>
        <grouping val="standard"/>
        <ser>
          <idx val="0"/>
          <order val="0"/>
          <tx>
            <strRef>
              <f>'3-成本结构'!B3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'3-成本结构'!$A$4:$A$7</f>
            </numRef>
          </cat>
          <val>
            <numRef>
              <f>'3-成本结构'!$B$4:$B$7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(千元)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核心经营利润变化桥 (2024→2025)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'4-利润桥分析'!B4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'4-利润桥分析'!$A$5:$A$11</f>
            </numRef>
          </cat>
          <val>
            <numRef>
              <f>'4-利润桥分析'!$B$5:$B$11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驱动因素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(千元)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收入结构变化 (按分部)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'5-收入结构'!B3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'5-收入结构'!$A$4:$A$7</f>
            </numRef>
          </cat>
          <val>
            <numRef>
              <f>'5-收入结构'!$B$4:$B$7</f>
            </numRef>
          </val>
        </ser>
        <ser>
          <idx val="1"/>
          <order val="1"/>
          <tx>
            <strRef>
              <f>'5-收入结构'!C3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'5-收入结构'!$A$4:$A$7</f>
            </numRef>
          </cat>
          <val>
            <numRef>
              <f>'5-收入结构'!$C$4:$C$7</f>
            </numRef>
          </val>
        </ser>
        <ser>
          <idx val="2"/>
          <order val="2"/>
          <tx>
            <strRef>
              <f>'5-收入结构'!D3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'5-收入结构'!$A$4:$A$7</f>
            </numRef>
          </cat>
          <val>
            <numRef>
              <f>'5-收入结构'!$D$4:$D$7</f>
            </numRef>
          </val>
        </ser>
        <ser>
          <idx val="3"/>
          <order val="3"/>
          <tx>
            <strRef>
              <f>'5-收入结构'!E3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'5-收入结构'!$A$4:$A$7</f>
            </numRef>
          </cat>
          <val>
            <numRef>
              <f>'5-收入结构'!$E$4:$E$7</f>
            </numRef>
          </val>
        </ser>
        <ser>
          <idx val="4"/>
          <order val="4"/>
          <tx>
            <strRef>
              <f>'5-收入结构'!F3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'5-收入结构'!$A$4:$A$7</f>
            </numRef>
          </cat>
          <val>
            <numRef>
              <f>'5-收入结构'!$F$4:$F$7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(千元)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外卖业务收入爆发式增长</a:t>
            </a:r>
          </a:p>
        </rich>
      </tx>
    </title>
    <plotArea>
      <lineChart>
        <grouping val="standard"/>
        <ser>
          <idx val="0"/>
          <order val="0"/>
          <tx>
            <strRef>
              <f>'5-收入结构'!C3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'5-收入结构'!$A$4:$A$7</f>
            </numRef>
          </cat>
          <val>
            <numRef>
              <f>'5-收入结构'!$C$4:$C$7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收入 (千元)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各区域同店销售增长率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'6-同店分析'!E3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'6-同店分析'!$A$4:$A$8</f>
            </numRef>
          </cat>
          <val>
            <numRef>
              <f>'6-同店分析'!$E$4:$E$8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增长率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 2022-2025 年度趋势分析</t>
        </is>
      </c>
    </row>
    <row r="2">
      <c r="A2" s="2" t="inlineStr">
        <is>
          <t>数据来源: 海底捞国际控股有限公司 (06862.HK) 年度业绩公告 | 单位: 人民币千元</t>
        </is>
      </c>
    </row>
    <row r="4">
      <c r="A4" s="3" t="inlineStr">
        <is>
          <t>年份</t>
        </is>
      </c>
      <c r="B4" s="3" t="inlineStr">
        <is>
          <t>总收入(千元)</t>
        </is>
      </c>
      <c r="C4" s="3" t="inlineStr">
        <is>
          <t>收入同比%</t>
        </is>
      </c>
      <c r="D4" s="3" t="inlineStr">
        <is>
          <t xml:space="preserve"> 净利润(千元)</t>
        </is>
      </c>
      <c r="E4" s="3" t="inlineStr">
        <is>
          <t>净利润同比%</t>
        </is>
      </c>
      <c r="F4" s="3" t="inlineStr">
        <is>
          <t>核心经营利润(千元)</t>
        </is>
      </c>
      <c r="G4" s="3" t="inlineStr">
        <is>
          <t>核心经营利润同比%</t>
        </is>
      </c>
      <c r="H4" s="3" t="inlineStr">
        <is>
          <t>毛利率%</t>
        </is>
      </c>
    </row>
    <row r="5">
      <c r="A5" s="4" t="n">
        <v>2022</v>
      </c>
      <c r="B5" s="4" t="n">
        <v>31038634</v>
      </c>
      <c r="C5" s="4" t="inlineStr">
        <is>
          <t>N/A</t>
        </is>
      </c>
      <c r="D5" s="4" t="n">
        <v>1637306</v>
      </c>
      <c r="E5" s="4" t="inlineStr">
        <is>
          <t>N/A</t>
        </is>
      </c>
      <c r="F5" s="4" t="inlineStr">
        <is>
          <t>N/A</t>
        </is>
      </c>
      <c r="G5" s="4" t="inlineStr">
        <is>
          <t>N/A</t>
        </is>
      </c>
      <c r="H5" s="5" t="n">
        <v>58.42</v>
      </c>
    </row>
    <row r="6">
      <c r="A6" s="4" t="n">
        <v>2023</v>
      </c>
      <c r="B6" s="4" t="n">
        <v>41453348</v>
      </c>
      <c r="C6" s="5" t="n">
        <v>33.55</v>
      </c>
      <c r="D6" s="4" t="n">
        <v>4495399</v>
      </c>
      <c r="E6" s="5" t="n">
        <v>174.56</v>
      </c>
      <c r="F6" s="4" t="n">
        <v>5246494</v>
      </c>
      <c r="G6" s="4" t="inlineStr">
        <is>
          <t>N/A</t>
        </is>
      </c>
      <c r="H6" s="5" t="n">
        <v>59.12</v>
      </c>
    </row>
    <row r="7">
      <c r="A7" s="4" t="n">
        <v>2024</v>
      </c>
      <c r="B7" s="4" t="n">
        <v>42754687</v>
      </c>
      <c r="C7" s="5" t="n">
        <v>3.14</v>
      </c>
      <c r="D7" s="4" t="n">
        <v>4700278</v>
      </c>
      <c r="E7" s="5" t="n">
        <v>4.56</v>
      </c>
      <c r="F7" s="4" t="n">
        <v>6229880</v>
      </c>
      <c r="G7" s="5" t="n">
        <v>18.74</v>
      </c>
      <c r="H7" s="5" t="n">
        <v>62.08</v>
      </c>
    </row>
    <row r="8">
      <c r="A8" s="4" t="n">
        <v>2025</v>
      </c>
      <c r="B8" s="4" t="n">
        <v>43225355</v>
      </c>
      <c r="C8" s="5" t="n">
        <v>1.1</v>
      </c>
      <c r="D8" s="4" t="n">
        <v>4041885</v>
      </c>
      <c r="E8" s="5" t="n">
        <v>-14.01</v>
      </c>
      <c r="F8" s="4" t="n">
        <v>5403233</v>
      </c>
      <c r="G8" s="5" t="n">
        <v>-13.27</v>
      </c>
      <c r="H8" s="5" t="n">
        <v>59.45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关键运营指标趋势分析</t>
        </is>
      </c>
    </row>
    <row r="3">
      <c r="A3" s="3" t="inlineStr">
        <is>
          <t>年份</t>
        </is>
      </c>
      <c r="B3" s="3" t="inlineStr">
        <is>
          <t>餐厅总数</t>
        </is>
      </c>
      <c r="C3" s="3" t="inlineStr">
        <is>
          <t>自营门店</t>
        </is>
      </c>
      <c r="D3" s="3" t="inlineStr">
        <is>
          <t>加盟门店</t>
        </is>
      </c>
      <c r="E3" s="3" t="inlineStr">
        <is>
          <t>翻台率(次/天)</t>
        </is>
      </c>
      <c r="F3" s="3" t="inlineStr">
        <is>
          <t>同店翻台率</t>
        </is>
      </c>
      <c r="G3" s="3" t="inlineStr">
        <is>
          <t>人均消费(元)</t>
        </is>
      </c>
      <c r="H3" s="3" t="inlineStr">
        <is>
          <t>顾客人次(百万)</t>
        </is>
      </c>
      <c r="I3" s="3" t="inlineStr">
        <is>
          <t>系统销售增长%</t>
        </is>
      </c>
    </row>
    <row r="4">
      <c r="A4" s="4" t="n">
        <v>2022</v>
      </c>
      <c r="B4" s="4" t="n">
        <v>1371</v>
      </c>
      <c r="C4" s="4" t="n">
        <v>1371</v>
      </c>
      <c r="D4" s="4" t="n">
        <v>0</v>
      </c>
      <c r="E4" s="4" t="n">
        <v>3</v>
      </c>
      <c r="F4" s="4" t="n">
        <v>3.1</v>
      </c>
      <c r="G4" s="4" t="n">
        <v>104.9</v>
      </c>
      <c r="H4" s="4" t="n">
        <v>276.3</v>
      </c>
      <c r="I4" s="4" t="inlineStr">
        <is>
          <t>N/A</t>
        </is>
      </c>
    </row>
    <row r="5">
      <c r="A5" s="4" t="n">
        <v>2023</v>
      </c>
      <c r="B5" s="4" t="n">
        <v>1374</v>
      </c>
      <c r="C5" s="4" t="n">
        <v>1374</v>
      </c>
      <c r="D5" s="4" t="n">
        <v>0</v>
      </c>
      <c r="E5" s="4" t="n">
        <v>3.8</v>
      </c>
      <c r="F5" s="4" t="n">
        <v>3.9</v>
      </c>
      <c r="G5" s="4" t="n">
        <v>99.09999999999999</v>
      </c>
      <c r="H5" s="4" t="n">
        <v>397</v>
      </c>
      <c r="I5" s="4" t="inlineStr">
        <is>
          <t>N/A</t>
        </is>
      </c>
    </row>
    <row r="6">
      <c r="A6" s="4" t="n">
        <v>2024</v>
      </c>
      <c r="B6" s="4" t="n">
        <v>1368</v>
      </c>
      <c r="C6" s="4" t="n">
        <v>1355</v>
      </c>
      <c r="D6" s="4" t="n">
        <v>13</v>
      </c>
      <c r="E6" s="4" t="n">
        <v>4.1</v>
      </c>
      <c r="F6" s="4" t="inlineStr">
        <is>
          <t>N/A</t>
        </is>
      </c>
      <c r="G6" s="4" t="n">
        <v>97.5</v>
      </c>
      <c r="H6" s="4" t="n">
        <v>415</v>
      </c>
      <c r="I6" s="4" t="n">
        <v>3</v>
      </c>
    </row>
    <row r="7">
      <c r="A7" s="4" t="n">
        <v>2025</v>
      </c>
      <c r="B7" s="4" t="n">
        <v>1383</v>
      </c>
      <c r="C7" s="4" t="n">
        <v>1304</v>
      </c>
      <c r="D7" s="4" t="n">
        <v>79</v>
      </c>
      <c r="E7" s="4" t="n">
        <v>3.9</v>
      </c>
      <c r="F7" s="4" t="inlineStr">
        <is>
          <t>N/A</t>
        </is>
      </c>
      <c r="G7" s="4" t="n">
        <v>97.7</v>
      </c>
      <c r="H7" s="4" t="n">
        <v>383.9</v>
      </c>
      <c r="I7" s="4" t="n">
        <v>-3.7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成本结构拆解 (2022-2025)</t>
        </is>
      </c>
    </row>
    <row r="3">
      <c r="A3" s="3" t="inlineStr">
        <is>
          <t>年份</t>
        </is>
      </c>
      <c r="B3" s="3" t="inlineStr">
        <is>
          <t>原材料(千元)</t>
        </is>
      </c>
      <c r="C3" s="3" t="inlineStr">
        <is>
          <t>原材料占比%</t>
        </is>
      </c>
      <c r="D3" s="3" t="inlineStr">
        <is>
          <t>员工成本(千元)</t>
        </is>
      </c>
      <c r="E3" s="3" t="inlineStr">
        <is>
          <t>员工占比%</t>
        </is>
      </c>
      <c r="F3" s="3" t="inlineStr">
        <is>
          <t>租金(千元)</t>
        </is>
      </c>
      <c r="G3" s="3" t="inlineStr">
        <is>
          <t>租金占比%</t>
        </is>
      </c>
      <c r="H3" s="3" t="inlineStr">
        <is>
          <t>折旧摊销(千元)</t>
        </is>
      </c>
      <c r="I3" s="3" t="inlineStr">
        <is>
          <t>折旧占比%</t>
        </is>
      </c>
      <c r="J3" s="3" t="inlineStr">
        <is>
          <t>其他(千元)</t>
        </is>
      </c>
    </row>
    <row r="4">
      <c r="A4" s="4" t="n">
        <v>2022</v>
      </c>
      <c r="B4" s="4" t="n">
        <v>12906400</v>
      </c>
      <c r="C4" s="4" t="n">
        <v>41.58</v>
      </c>
      <c r="D4" s="4" t="n">
        <v>10239800</v>
      </c>
      <c r="E4" s="4" t="n">
        <v>32.99</v>
      </c>
      <c r="F4" s="4" t="n">
        <v>274300</v>
      </c>
      <c r="G4" s="4" t="n">
        <v>0.88</v>
      </c>
      <c r="H4" s="4" t="n">
        <v>3321200</v>
      </c>
      <c r="I4" s="4" t="n">
        <v>10.7</v>
      </c>
      <c r="J4" s="4" t="n">
        <v>1361200</v>
      </c>
    </row>
    <row r="5">
      <c r="A5" s="4" t="n">
        <v>2023</v>
      </c>
      <c r="B5" s="4" t="n">
        <v>16946200</v>
      </c>
      <c r="C5" s="4" t="n">
        <v>40.88</v>
      </c>
      <c r="D5" s="4" t="n">
        <v>13039800</v>
      </c>
      <c r="E5" s="4" t="n">
        <v>31.46</v>
      </c>
      <c r="F5" s="4" t="n">
        <v>361900</v>
      </c>
      <c r="G5" s="4" t="n">
        <v>0.87</v>
      </c>
      <c r="H5" s="4" t="n">
        <v>2945400</v>
      </c>
      <c r="I5" s="4" t="n">
        <v>7.11</v>
      </c>
      <c r="J5" s="4" t="n">
        <v>1611000</v>
      </c>
    </row>
    <row r="6">
      <c r="A6" s="4" t="n">
        <v>2024</v>
      </c>
      <c r="B6" s="4" t="n">
        <v>16211077</v>
      </c>
      <c r="C6" s="4" t="n">
        <v>37.92</v>
      </c>
      <c r="D6" s="4" t="n">
        <v>14113263</v>
      </c>
      <c r="E6" s="4" t="n">
        <v>33.01</v>
      </c>
      <c r="F6" s="4" t="n">
        <v>425543</v>
      </c>
      <c r="G6" s="4" t="n">
        <v>1</v>
      </c>
      <c r="H6" s="4" t="n">
        <v>2558496</v>
      </c>
      <c r="I6" s="4" t="n">
        <v>5.98</v>
      </c>
      <c r="J6" s="4" t="n">
        <v>1700000</v>
      </c>
    </row>
    <row r="7">
      <c r="A7" s="4" t="n">
        <v>2025</v>
      </c>
      <c r="B7" s="4" t="n">
        <v>17526186</v>
      </c>
      <c r="C7" s="4" t="n">
        <v>40.55</v>
      </c>
      <c r="D7" s="4" t="n">
        <v>14072970</v>
      </c>
      <c r="E7" s="4" t="n">
        <v>32.56</v>
      </c>
      <c r="F7" s="4" t="n">
        <v>428606</v>
      </c>
      <c r="G7" s="4" t="n">
        <v>0.99</v>
      </c>
      <c r="H7" s="4" t="n">
        <v>2182061</v>
      </c>
      <c r="I7" s="4" t="n">
        <v>5.05</v>
      </c>
      <c r="J7" s="4" t="n">
        <v>1900000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核心经营利润变化桥分析 (2024 → 2025)</t>
        </is>
      </c>
    </row>
    <row r="2">
      <c r="A2" s="2" t="inlineStr">
        <is>
          <t>单位: 千元 | 正数=利润增加贡献, 负数=利润减少因素</t>
        </is>
      </c>
    </row>
    <row r="4">
      <c r="A4" s="3" t="inlineStr">
        <is>
          <t>项目</t>
        </is>
      </c>
      <c r="B4" s="3" t="inlineStr">
        <is>
          <t>金额(千元)</t>
        </is>
      </c>
      <c r="C4" s="3" t="inlineStr">
        <is>
          <t>类型</t>
        </is>
      </c>
      <c r="D4" s="3" t="inlineStr">
        <is>
          <t>累计影响</t>
        </is>
      </c>
    </row>
    <row r="5">
      <c r="A5" s="6" t="inlineStr">
        <is>
          <t>2024年核心经营利润</t>
        </is>
      </c>
      <c r="B5" s="3" t="n">
        <v>6229880</v>
      </c>
      <c r="C5" s="3" t="inlineStr">
        <is>
          <t>base</t>
        </is>
      </c>
      <c r="D5" s="7" t="n">
        <v>6229880</v>
      </c>
    </row>
    <row r="6">
      <c r="A6" s="6" t="inlineStr">
        <is>
          <t>收入增长</t>
        </is>
      </c>
      <c r="B6" s="8" t="n">
        <v>470668</v>
      </c>
      <c r="C6" s="9" t="inlineStr">
        <is>
          <t>positive</t>
        </is>
      </c>
      <c r="D6" s="7" t="n">
        <v>6700548</v>
      </c>
    </row>
    <row r="7">
      <c r="A7" s="6" t="inlineStr">
        <is>
          <t>原材料成本增加</t>
        </is>
      </c>
      <c r="B7" s="10" t="n">
        <v>-1315109</v>
      </c>
      <c r="C7" s="11" t="inlineStr">
        <is>
          <t>negative</t>
        </is>
      </c>
      <c r="D7" s="7" t="n">
        <v>5385439</v>
      </c>
    </row>
    <row r="8">
      <c r="A8" s="6" t="inlineStr">
        <is>
          <t>员工成本下降</t>
        </is>
      </c>
      <c r="B8" s="8" t="n">
        <v>40293</v>
      </c>
      <c r="C8" s="9" t="inlineStr">
        <is>
          <t>positive</t>
        </is>
      </c>
      <c r="D8" s="7" t="n">
        <v>5425732</v>
      </c>
    </row>
    <row r="9">
      <c r="A9" s="6" t="inlineStr">
        <is>
          <t>折旧摊销减少</t>
        </is>
      </c>
      <c r="B9" s="8" t="n">
        <v>376435</v>
      </c>
      <c r="C9" s="9" t="inlineStr">
        <is>
          <t>positive</t>
        </is>
      </c>
      <c r="D9" s="7" t="n">
        <v>5802167</v>
      </c>
    </row>
    <row r="10">
      <c r="A10" s="6" t="inlineStr">
        <is>
          <t>其他成本增加</t>
        </is>
      </c>
      <c r="B10" s="10" t="n">
        <v>-272238</v>
      </c>
      <c r="C10" s="11" t="inlineStr">
        <is>
          <t>negative</t>
        </is>
      </c>
      <c r="D10" s="7" t="n">
        <v>5529929</v>
      </c>
    </row>
    <row r="11">
      <c r="A11" s="6" t="inlineStr">
        <is>
          <t>2025年核心经营利润</t>
        </is>
      </c>
      <c r="B11" s="3" t="n">
        <v>5403233</v>
      </c>
      <c r="C11" s="3" t="inlineStr">
        <is>
          <t>base</t>
        </is>
      </c>
      <c r="D11" s="7" t="n">
        <v>5403233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收入结构拆解 (2022-2025)</t>
        </is>
      </c>
    </row>
    <row r="3">
      <c r="A3" s="3" t="inlineStr">
        <is>
          <t>年份</t>
        </is>
      </c>
      <c r="B3" s="3" t="inlineStr">
        <is>
          <t>海底捞餐厅经营(千元)</t>
        </is>
      </c>
      <c r="C3" s="3" t="inlineStr">
        <is>
          <t>外卖业务(千元)</t>
        </is>
      </c>
      <c r="D3" s="3" t="inlineStr">
        <is>
          <t>调味品及食材(千元)</t>
        </is>
      </c>
      <c r="E3" s="3" t="inlineStr">
        <is>
          <t>其他餐厅(千元)</t>
        </is>
      </c>
      <c r="F3" s="3" t="inlineStr">
        <is>
          <t>特许经营(千元)</t>
        </is>
      </c>
    </row>
    <row r="4">
      <c r="A4" s="4" t="n">
        <v>2022</v>
      </c>
      <c r="B4" s="4" t="n">
        <v>28942639</v>
      </c>
      <c r="C4" s="4" t="n">
        <v>1280100</v>
      </c>
      <c r="D4" s="4" t="n">
        <v>662164</v>
      </c>
      <c r="E4" s="4" t="n">
        <v>144367</v>
      </c>
      <c r="F4" s="4" t="n">
        <v>0</v>
      </c>
    </row>
    <row r="5">
      <c r="A5" s="4" t="n">
        <v>2023</v>
      </c>
      <c r="B5" s="4" t="n">
        <v>39266603</v>
      </c>
      <c r="C5" s="4" t="n">
        <v>1041475</v>
      </c>
      <c r="D5" s="4" t="n">
        <v>788651</v>
      </c>
      <c r="E5" s="4" t="n">
        <v>346176</v>
      </c>
      <c r="F5" s="4" t="n">
        <v>0</v>
      </c>
    </row>
    <row r="6">
      <c r="A6" s="4" t="n">
        <v>2024</v>
      </c>
      <c r="B6" s="4" t="n">
        <v>40397616</v>
      </c>
      <c r="C6" s="4" t="n">
        <v>1253869</v>
      </c>
      <c r="D6" s="4" t="n">
        <v>575140</v>
      </c>
      <c r="E6" s="4" t="n">
        <v>483335</v>
      </c>
      <c r="F6" s="4" t="n">
        <v>16706</v>
      </c>
    </row>
    <row r="7">
      <c r="A7" s="4" t="n">
        <v>2025</v>
      </c>
      <c r="B7" s="4" t="n">
        <v>37543000</v>
      </c>
      <c r="C7" s="4" t="n">
        <v>2657600</v>
      </c>
      <c r="D7" s="4" t="n">
        <v>535000</v>
      </c>
      <c r="E7" s="4" t="n">
        <v>1520600</v>
      </c>
      <c r="F7" s="4" t="n">
        <v>50000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同店销售分析 (2022 vs 2023)</t>
        </is>
      </c>
    </row>
    <row r="3">
      <c r="A3" s="3" t="inlineStr">
        <is>
          <t>区域</t>
        </is>
      </c>
      <c r="B3" s="3" t="inlineStr">
        <is>
          <t>2022同店数</t>
        </is>
      </c>
      <c r="C3" s="3" t="inlineStr">
        <is>
          <t>2023同店数</t>
        </is>
      </c>
      <c r="D3" s="3" t="inlineStr">
        <is>
          <t>同店销售额变动(千元)</t>
        </is>
      </c>
      <c r="E3" s="3" t="inlineStr">
        <is>
          <t>同店增长%</t>
        </is>
      </c>
      <c r="F3" s="3" t="inlineStr">
        <is>
          <t>日均销售额变动(千元)</t>
        </is>
      </c>
      <c r="G3" s="3" t="inlineStr">
        <is>
          <t>翻台率变动</t>
        </is>
      </c>
    </row>
    <row r="4">
      <c r="A4" s="4" t="inlineStr">
        <is>
          <t>一线城市</t>
        </is>
      </c>
      <c r="B4" s="4" t="n">
        <v>113</v>
      </c>
      <c r="C4" s="4" t="n">
        <v>130</v>
      </c>
      <c r="D4" s="4" t="n">
        <v>1516781</v>
      </c>
      <c r="E4" s="4" t="n">
        <v>52.2</v>
      </c>
      <c r="F4" s="4" t="n">
        <v>14.4</v>
      </c>
      <c r="G4" s="4" t="n">
        <v>1</v>
      </c>
    </row>
    <row r="5">
      <c r="A5" s="4" t="inlineStr">
        <is>
          <t>三线及以下</t>
        </is>
      </c>
      <c r="B5" s="4" t="n">
        <v>337</v>
      </c>
      <c r="C5" s="4" t="n">
        <v>455</v>
      </c>
      <c r="D5" s="4" t="n">
        <v>4982164</v>
      </c>
      <c r="E5" s="4" t="n">
        <v>61.41</v>
      </c>
      <c r="F5" s="4" t="n">
        <v>9.4</v>
      </c>
      <c r="G5" s="4" t="n">
        <v>0.7</v>
      </c>
    </row>
    <row r="6">
      <c r="A6" s="4" t="inlineStr">
        <is>
          <t>二线城市</t>
        </is>
      </c>
      <c r="B6" s="4" t="n">
        <v>290</v>
      </c>
      <c r="C6" s="4" t="n">
        <v>346</v>
      </c>
      <c r="D6" s="4" t="n">
        <v>3458719</v>
      </c>
      <c r="E6" s="4" t="n">
        <v>48.1</v>
      </c>
      <c r="F6" s="4" t="n">
        <v>12.6</v>
      </c>
      <c r="G6" s="4" t="n">
        <v>0.9</v>
      </c>
    </row>
    <row r="7">
      <c r="A7" s="4" t="inlineStr">
        <is>
          <t>整体</t>
        </is>
      </c>
      <c r="B7" s="4" t="n">
        <v>759</v>
      </c>
      <c r="C7" s="4" t="n">
        <v>950</v>
      </c>
      <c r="D7" s="4" t="n">
        <v>10166480</v>
      </c>
      <c r="E7" s="4" t="n">
        <v>53.06</v>
      </c>
      <c r="F7" s="4" t="n">
        <v>11.1</v>
      </c>
      <c r="G7" s="4" t="n">
        <v>0.8</v>
      </c>
    </row>
    <row r="8">
      <c r="A8" s="4" t="inlineStr">
        <is>
          <t>港澳台</t>
        </is>
      </c>
      <c r="B8" s="4" t="n">
        <v>19</v>
      </c>
      <c r="C8" s="4" t="n">
        <v>19</v>
      </c>
      <c r="D8" s="4" t="n">
        <v>208816</v>
      </c>
      <c r="E8" s="4" t="n">
        <v>21.97</v>
      </c>
      <c r="F8" s="4" t="n">
        <v>29.4</v>
      </c>
      <c r="G8" s="4" t="n">
        <v>0.6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0" customWidth="1" min="4" max="4"/>
    <col width="12" customWidth="1" min="5" max="5"/>
    <col width="55" customWidth="1" min="6" max="6"/>
  </cols>
  <sheetData>
    <row r="1">
      <c r="A1" s="1" t="inlineStr">
        <is>
          <t>经营改善方向 (按影响程度排序)</t>
        </is>
      </c>
    </row>
    <row r="2">
      <c r="A2" s="2" t="inlineStr">
        <is>
          <t>基于2024→2025年利润变动归因分析, 按对核心经营利润的影响金额排序</t>
        </is>
      </c>
    </row>
    <row r="4">
      <c r="A4" s="3" t="inlineStr">
        <is>
          <t>排序</t>
        </is>
      </c>
      <c r="B4" s="3" t="inlineStr">
        <is>
          <t>改善方向</t>
        </is>
      </c>
      <c r="C4" s="3" t="inlineStr">
        <is>
          <t>影响金额(千元)</t>
        </is>
      </c>
      <c r="D4" s="3" t="inlineStr">
        <is>
          <t>影响程度</t>
        </is>
      </c>
      <c r="E4" s="3" t="inlineStr">
        <is>
          <t>严重级别</t>
        </is>
      </c>
      <c r="F4" s="3" t="inlineStr">
        <is>
          <t>建议行动</t>
        </is>
      </c>
    </row>
    <row r="5">
      <c r="A5" s="7" t="n">
        <v>1</v>
      </c>
      <c r="B5" s="6" t="inlineStr">
        <is>
          <t>控制原材料成本占比</t>
        </is>
      </c>
      <c r="C5" s="4" t="n">
        <v>-1315109</v>
      </c>
      <c r="D5" s="6" t="inlineStr">
        <is>
          <t>原材料成本增13.15亿, 占比从37.9%升至40.5%</t>
        </is>
      </c>
      <c r="E5" s="10" t="inlineStr">
        <is>
          <t>CRITICAL</t>
        </is>
      </c>
      <c r="F5" s="6" t="inlineStr">
        <is>
          <t>1.优化供应链集中采购 2.推动区域特色产品本地化降本 3.菜单结构优化(高毛利产品占比提升)</t>
        </is>
      </c>
    </row>
    <row r="6">
      <c r="A6" s="7" t="n">
        <v>2</v>
      </c>
      <c r="B6" s="6" t="inlineStr">
        <is>
          <t>提升翻台率至4.0+</t>
        </is>
      </c>
      <c r="C6" s="4" t="n">
        <v>-326178</v>
      </c>
      <c r="D6" s="6" t="inlineStr">
        <is>
          <t>翻台率降0.2次致客流减3110万, 餐厅收入降18.17亿</t>
        </is>
      </c>
      <c r="E6" s="10" t="inlineStr">
        <is>
          <t>CRITICAL</t>
        </is>
      </c>
      <c r="F6" s="6" t="inlineStr">
        <is>
          <t>1.深化'一店一策'差异化运营 2.强化夜间时段和宵夜场景 3.优化排队体验提升翻台效率</t>
        </is>
      </c>
    </row>
    <row r="7">
      <c r="A7" s="7" t="n">
        <v>3</v>
      </c>
      <c r="B7" s="6" t="inlineStr">
        <is>
          <t>恢复客流增长</t>
        </is>
      </c>
      <c r="C7" s="4" t="inlineStr">
        <is>
          <t>—</t>
        </is>
      </c>
      <c r="D7" s="6" t="inlineStr">
        <is>
          <t>全年客流3.839亿, 同比减少3110万人次(-7.5%)</t>
        </is>
      </c>
      <c r="E7" s="12" t="inlineStr">
        <is>
          <t>WARN</t>
        </is>
      </c>
      <c r="F7" s="6" t="inlineStr">
        <is>
          <t>1.加大年轻客群触达(短视频/IP联名) 2.提升会员复购率 3.校园/家庭场景创新</t>
        </is>
      </c>
    </row>
    <row r="8">
      <c r="A8" s="7" t="n">
        <v>4</v>
      </c>
      <c r="B8" s="6" t="inlineStr">
        <is>
          <t>优化门店网络质量</t>
        </is>
      </c>
      <c r="C8" s="4" t="inlineStr">
        <is>
          <t>—</t>
        </is>
      </c>
      <c r="D8" s="6" t="inlineStr">
        <is>
          <t>自营门店净减51家(关停85家), 门店效率待提升</t>
        </is>
      </c>
      <c r="E8" s="12" t="inlineStr">
        <is>
          <t>WARN</t>
        </is>
      </c>
      <c r="F8" s="6" t="inlineStr">
        <is>
          <t>1.持续淘汰低效门店 2.加盟模式加速下沉市场扩张 3.门店改造升级提升单店产出</t>
        </is>
      </c>
    </row>
    <row r="9">
      <c r="A9" s="7" t="n">
        <v>5</v>
      </c>
      <c r="B9" s="6" t="inlineStr">
        <is>
          <t>扩大外卖业务规模</t>
        </is>
      </c>
      <c r="C9" s="4" t="n">
        <v>1403700</v>
      </c>
      <c r="D9" s="6" t="inlineStr">
        <is>
          <t>外卖收入增14.04亿(+111.9%), 但利润率待提升</t>
        </is>
      </c>
      <c r="E9" s="8" t="inlineStr">
        <is>
          <t>INFO</t>
        </is>
      </c>
      <c r="F9" s="6" t="inlineStr">
        <is>
          <t>1.扩大外卖覆盖至全部门店 2.开发外卖专属产品提升利润率 3.多平台深度合作</t>
        </is>
      </c>
    </row>
    <row r="10">
      <c r="A10" s="7" t="n">
        <v>6</v>
      </c>
      <c r="B10" s="6" t="inlineStr">
        <is>
          <t>加速多品牌矩阵</t>
        </is>
      </c>
      <c r="C10" s="4" t="n">
        <v>1037300</v>
      </c>
      <c r="D10" s="6" t="inlineStr">
        <is>
          <t>石榴计划20品牌207店, 其他餐厅收入增10.37亿</t>
        </is>
      </c>
      <c r="E10" s="8" t="inlineStr">
        <is>
          <t>INFO</t>
        </is>
      </c>
      <c r="F10" s="6" t="inlineStr">
        <is>
          <t>1.加快'厨师'和'人民餐厅'双体系孵化 2.共享中后台降低新品牌成本 3.择优收购互补品牌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0" customWidth="1" min="3" max="3"/>
  </cols>
  <sheetData>
    <row r="1">
      <c r="A1" s="1" t="inlineStr">
        <is>
          <t>数据来源说明</t>
        </is>
      </c>
    </row>
    <row r="3">
      <c r="A3" s="13" t="inlineStr">
        <is>
          <t>数据来源</t>
        </is>
      </c>
      <c r="B3" s="14" t="inlineStr">
        <is>
          <t>海底捞国际控股有限公司 (06862.HK) 年度业绩公告</t>
        </is>
      </c>
      <c r="C3" s="14" t="inlineStr"/>
    </row>
    <row r="4">
      <c r="A4" s="13" t="inlineStr">
        <is>
          <t>2022年报</t>
        </is>
      </c>
      <c r="B4" s="14" t="inlineStr">
        <is>
          <t>https://www.hkexnews.hk/listedco/listconews/sehk/2023/0330/2023033001797_c.pdf</t>
        </is>
      </c>
      <c r="C4" s="14" t="inlineStr">
        <is>
          <t>持续经营业务</t>
        </is>
      </c>
    </row>
    <row r="5">
      <c r="A5" s="13" t="inlineStr">
        <is>
          <t>2023年报</t>
        </is>
      </c>
      <c r="B5" s="14" t="inlineStr">
        <is>
          <t>https://www.hkexnews.hk/listedco/listconews/sehk/2024/0326/2024032601044_c.pdf</t>
        </is>
      </c>
      <c r="C5" s="14" t="inlineStr">
        <is>
          <t>持续经营业务</t>
        </is>
      </c>
    </row>
    <row r="6">
      <c r="A6" s="13" t="inlineStr">
        <is>
          <t>2024年报</t>
        </is>
      </c>
      <c r="B6" s="14" t="inlineStr">
        <is>
          <t>https://www1.hkexnews.hk/listedco/listconews/sehk/2025/0325/2025032501303.pdf</t>
        </is>
      </c>
      <c r="C6" s="14" t="inlineStr"/>
    </row>
    <row r="7">
      <c r="A7" s="13" t="inlineStr">
        <is>
          <t>2025年报</t>
        </is>
      </c>
      <c r="B7" s="14" t="inlineStr">
        <is>
          <t>https://www1.hkexnews.hk/listedco/listconews/sehk/2026/0324/2026032400912.pdf</t>
        </is>
      </c>
      <c r="C7" s="14" t="inlineStr"/>
    </row>
    <row r="8">
      <c r="A8" s="13" t="inlineStr"/>
      <c r="B8" s="14" t="inlineStr"/>
      <c r="C8" s="14" t="inlineStr"/>
    </row>
    <row r="9">
      <c r="A9" s="13" t="inlineStr">
        <is>
          <t>注意</t>
        </is>
      </c>
      <c r="B9" s="14" t="inlineStr">
        <is>
          <t>2022年起特海国际(海外业务)分拆上市, 不再纳入合并报表</t>
        </is>
      </c>
      <c r="C9" s="14" t="inlineStr"/>
    </row>
    <row r="10">
      <c r="A10" s="13" t="inlineStr">
        <is>
          <t>注意</t>
        </is>
      </c>
      <c r="B10" s="14" t="inlineStr">
        <is>
          <t>2024年差旅通讯及其他开支为估算值</t>
        </is>
      </c>
      <c r="C10" s="14" t="inlineStr"/>
    </row>
    <row r="11">
      <c r="A11" s="13" t="inlineStr">
        <is>
          <t>注意</t>
        </is>
      </c>
      <c r="B11" s="14" t="inlineStr">
        <is>
          <t>2025年分部收入中部分项目为估算</t>
        </is>
      </c>
      <c r="C11" s="14" t="inlineStr"/>
    </row>
    <row r="12">
      <c r="A12" s="13" t="inlineStr">
        <is>
          <t>分析工具</t>
        </is>
      </c>
      <c r="B12" s="14" t="inlineStr">
        <is>
          <t>SQLite + SQL 查询</t>
        </is>
      </c>
      <c r="C12" s="14" t="inlineStr"/>
    </row>
    <row r="13">
      <c r="A13" s="13" t="inlineStr">
        <is>
          <t>可视化</t>
        </is>
      </c>
      <c r="B13" s="14" t="inlineStr">
        <is>
          <t>openpyxl (Excel)</t>
        </is>
      </c>
      <c r="C13" s="14" t="inlineStr"/>
    </row>
    <row r="14">
      <c r="A14" s="13" t="inlineStr">
        <is>
          <t>分析方法</t>
        </is>
      </c>
      <c r="B14" s="14" t="inlineStr">
        <is>
          <t>经营分析全链路 Skill (business-ops-analysis)</t>
        </is>
      </c>
      <c r="C14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2026-09-27T14:25:50Z</dcterms:created>
  <dcterms:modified xmlns:dcterms="http://purl.org/dc/terms/" xmlns:xsi="http://www.w3.org/2001/XMLSchema-instance" xsi:type="dcterms:W3CDTF">2026-09-27T14:25:50Z</dcterms:modified>
</cp:coreProperties>
</file>